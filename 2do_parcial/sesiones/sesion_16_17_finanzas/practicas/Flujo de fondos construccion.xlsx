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8_{94EC5249-DE0B-4A82-94B9-1E16548EB515}" xr6:coauthVersionLast="47" xr6:coauthVersionMax="47" xr10:uidLastSave="{00000000-0000-0000-0000-000000000000}"/>
  <bookViews>
    <workbookView xWindow="780" yWindow="1000" windowWidth="27640" windowHeight="15980" xr2:uid="{906C7576-6A43-7C49-9A06-AA0818EE8508}"/>
  </bookViews>
  <sheets>
    <sheet name="flujo de fondos " sheetId="1" r:id="rId1"/>
  </sheets>
  <externalReferences>
    <externalReference r:id="rId2"/>
  </externalReferenc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7" i="1" l="1"/>
  <c r="AC35" i="1"/>
  <c r="AD35" i="1" s="1"/>
  <c r="AA35" i="1"/>
  <c r="AD33" i="1"/>
  <c r="AC33" i="1"/>
  <c r="AA33" i="1"/>
  <c r="Z33" i="1"/>
  <c r="M33" i="1"/>
  <c r="W33" i="1" s="1"/>
  <c r="L33" i="1"/>
  <c r="Y33" i="1" s="1"/>
  <c r="K33" i="1"/>
  <c r="J33" i="1"/>
  <c r="H33" i="1"/>
  <c r="AC30" i="1"/>
  <c r="AD28" i="1"/>
  <c r="AC28" i="1"/>
  <c r="AC37" i="1" s="1"/>
  <c r="M27" i="1"/>
  <c r="W27" i="1" s="1"/>
  <c r="L27" i="1"/>
  <c r="Y27" i="1" s="1"/>
  <c r="K27" i="1"/>
  <c r="Z27" i="1" s="1"/>
  <c r="J27" i="1"/>
  <c r="AA27" i="1" s="1"/>
  <c r="AA37" i="1" s="1"/>
  <c r="K26" i="1"/>
  <c r="J26" i="1"/>
  <c r="I26" i="1"/>
  <c r="H26" i="1"/>
  <c r="I24" i="1"/>
  <c r="X24" i="1" s="1"/>
  <c r="T23" i="1"/>
  <c r="I22" i="1"/>
  <c r="I21" i="1"/>
  <c r="I20" i="1"/>
  <c r="W20" i="1" s="1"/>
  <c r="I19" i="1"/>
  <c r="F18" i="1"/>
  <c r="H18" i="1" s="1"/>
  <c r="C17" i="1"/>
  <c r="Y17" i="1" s="1"/>
  <c r="B16" i="1"/>
  <c r="E16" i="1" s="1"/>
  <c r="E15" i="1"/>
  <c r="B7" i="1"/>
  <c r="B10" i="1" s="1"/>
  <c r="B47" i="1" s="1"/>
  <c r="I31" i="1" l="1"/>
  <c r="R19" i="1"/>
  <c r="O19" i="1"/>
  <c r="N19" i="1"/>
  <c r="K19" i="1"/>
  <c r="J19" i="1"/>
  <c r="Q21" i="1"/>
  <c r="R21" i="1"/>
  <c r="N21" i="1"/>
  <c r="L21" i="1"/>
  <c r="J21" i="1"/>
  <c r="U22" i="1"/>
  <c r="V22" i="1"/>
  <c r="R22" i="1"/>
  <c r="P22" i="1"/>
  <c r="N22" i="1"/>
  <c r="L22" i="1"/>
  <c r="J22" i="1"/>
  <c r="Y23" i="1"/>
  <c r="V23" i="1"/>
  <c r="AA39" i="1"/>
  <c r="AC39" i="1"/>
  <c r="AB39" i="1"/>
  <c r="F16" i="1"/>
  <c r="F17" i="1"/>
  <c r="J17" i="1"/>
  <c r="N17" i="1"/>
  <c r="R17" i="1"/>
  <c r="V17" i="1"/>
  <c r="Z17" i="1"/>
  <c r="I18" i="1"/>
  <c r="V19" i="1"/>
  <c r="Z19" i="1"/>
  <c r="L20" i="1"/>
  <c r="P20" i="1"/>
  <c r="T20" i="1"/>
  <c r="X20" i="1"/>
  <c r="M24" i="1"/>
  <c r="Q24" i="1"/>
  <c r="U24" i="1"/>
  <c r="Y24" i="1"/>
  <c r="Y32" i="1" s="1"/>
  <c r="P27" i="1"/>
  <c r="T27" i="1"/>
  <c r="X27" i="1"/>
  <c r="P33" i="1"/>
  <c r="T33" i="1"/>
  <c r="X33" i="1"/>
  <c r="C16" i="1"/>
  <c r="G16" i="1"/>
  <c r="G17" i="1"/>
  <c r="K17" i="1"/>
  <c r="O17" i="1"/>
  <c r="S17" i="1"/>
  <c r="W17" i="1"/>
  <c r="J18" i="1"/>
  <c r="S19" i="1"/>
  <c r="W19" i="1"/>
  <c r="W31" i="1" s="1"/>
  <c r="M20" i="1"/>
  <c r="Q20" i="1"/>
  <c r="U20" i="1"/>
  <c r="Y20" i="1"/>
  <c r="K21" i="1"/>
  <c r="O21" i="1"/>
  <c r="S21" i="1"/>
  <c r="K22" i="1"/>
  <c r="O22" i="1"/>
  <c r="S22" i="1"/>
  <c r="W22" i="1"/>
  <c r="W23" i="1"/>
  <c r="J24" i="1"/>
  <c r="N24" i="1"/>
  <c r="R24" i="1"/>
  <c r="V24" i="1"/>
  <c r="Z24" i="1"/>
  <c r="Q27" i="1"/>
  <c r="U27" i="1"/>
  <c r="I33" i="1"/>
  <c r="Q33" i="1"/>
  <c r="U33" i="1"/>
  <c r="D16" i="1"/>
  <c r="D17" i="1"/>
  <c r="H17" i="1"/>
  <c r="L17" i="1"/>
  <c r="P17" i="1"/>
  <c r="T17" i="1"/>
  <c r="X17" i="1"/>
  <c r="G18" i="1"/>
  <c r="K18" i="1"/>
  <c r="L19" i="1"/>
  <c r="L31" i="1" s="1"/>
  <c r="P19" i="1"/>
  <c r="P31" i="1" s="1"/>
  <c r="T19" i="1"/>
  <c r="T31" i="1" s="1"/>
  <c r="X19" i="1"/>
  <c r="X31" i="1" s="1"/>
  <c r="J20" i="1"/>
  <c r="J31" i="1" s="1"/>
  <c r="N20" i="1"/>
  <c r="N31" i="1" s="1"/>
  <c r="R20" i="1"/>
  <c r="R31" i="1" s="1"/>
  <c r="V20" i="1"/>
  <c r="Z20" i="1"/>
  <c r="P21" i="1"/>
  <c r="T21" i="1"/>
  <c r="T22" i="1"/>
  <c r="X23" i="1"/>
  <c r="K24" i="1"/>
  <c r="O24" i="1"/>
  <c r="S24" i="1"/>
  <c r="W24" i="1"/>
  <c r="N27" i="1"/>
  <c r="R27" i="1"/>
  <c r="V27" i="1"/>
  <c r="B32" i="1"/>
  <c r="B37" i="1" s="1"/>
  <c r="N33" i="1"/>
  <c r="R33" i="1"/>
  <c r="V33" i="1"/>
  <c r="E17" i="1"/>
  <c r="E32" i="1" s="1"/>
  <c r="E37" i="1" s="1"/>
  <c r="E39" i="1" s="1"/>
  <c r="I17" i="1"/>
  <c r="M17" i="1"/>
  <c r="Q17" i="1"/>
  <c r="U17" i="1"/>
  <c r="M19" i="1"/>
  <c r="M31" i="1" s="1"/>
  <c r="Q19" i="1"/>
  <c r="Q31" i="1" s="1"/>
  <c r="U19" i="1"/>
  <c r="U31" i="1" s="1"/>
  <c r="Y19" i="1"/>
  <c r="Y31" i="1" s="1"/>
  <c r="K20" i="1"/>
  <c r="K31" i="1" s="1"/>
  <c r="O20" i="1"/>
  <c r="O31" i="1" s="1"/>
  <c r="S20" i="1"/>
  <c r="M21" i="1"/>
  <c r="M22" i="1"/>
  <c r="Q22" i="1"/>
  <c r="U23" i="1"/>
  <c r="L24" i="1"/>
  <c r="P24" i="1"/>
  <c r="T24" i="1"/>
  <c r="O27" i="1"/>
  <c r="S27" i="1"/>
  <c r="O33" i="1"/>
  <c r="S33" i="1"/>
  <c r="AE33" i="1" l="1"/>
  <c r="Z31" i="1"/>
  <c r="Q32" i="1"/>
  <c r="Q37" i="1" s="1"/>
  <c r="Q39" i="1" s="1"/>
  <c r="P32" i="1"/>
  <c r="P37" i="1" s="1"/>
  <c r="P39" i="1" s="1"/>
  <c r="D32" i="1"/>
  <c r="D37" i="1" s="1"/>
  <c r="D39" i="1" s="1"/>
  <c r="S31" i="1"/>
  <c r="O32" i="1"/>
  <c r="O37" i="1" s="1"/>
  <c r="O39" i="1" s="1"/>
  <c r="C32" i="1"/>
  <c r="C37" i="1" s="1"/>
  <c r="V32" i="1"/>
  <c r="AG16" i="1"/>
  <c r="L32" i="1"/>
  <c r="L37" i="1" s="1"/>
  <c r="L39" i="1" s="1"/>
  <c r="K32" i="1"/>
  <c r="K37" i="1"/>
  <c r="K39" i="1" s="1"/>
  <c r="B39" i="1"/>
  <c r="V31" i="1"/>
  <c r="V37" i="1" s="1"/>
  <c r="V39" i="1" s="1"/>
  <c r="R32" i="1"/>
  <c r="R37" i="1" s="1"/>
  <c r="R39" i="1" s="1"/>
  <c r="F32" i="1"/>
  <c r="F37" i="1" s="1"/>
  <c r="F39" i="1" s="1"/>
  <c r="M32" i="1"/>
  <c r="M37" i="1" s="1"/>
  <c r="M39" i="1" s="1"/>
  <c r="I32" i="1"/>
  <c r="I37" i="1" s="1"/>
  <c r="I39" i="1" s="1"/>
  <c r="AF16" i="1"/>
  <c r="AH16" i="1" s="1"/>
  <c r="AD36" i="1" s="1"/>
  <c r="X32" i="1"/>
  <c r="X37" i="1" s="1"/>
  <c r="X39" i="1" s="1"/>
  <c r="H32" i="1"/>
  <c r="H37" i="1" s="1"/>
  <c r="H39" i="1" s="1"/>
  <c r="W32" i="1"/>
  <c r="W37" i="1"/>
  <c r="W39" i="1" s="1"/>
  <c r="N32" i="1"/>
  <c r="N37" i="1"/>
  <c r="N39" i="1" s="1"/>
  <c r="Y37" i="1"/>
  <c r="Y39" i="1" s="1"/>
  <c r="U32" i="1"/>
  <c r="U37" i="1" s="1"/>
  <c r="U39" i="1" s="1"/>
  <c r="T32" i="1"/>
  <c r="T37" i="1" s="1"/>
  <c r="T39" i="1" s="1"/>
  <c r="S32" i="1"/>
  <c r="S37" i="1"/>
  <c r="S39" i="1" s="1"/>
  <c r="G32" i="1"/>
  <c r="G37" i="1"/>
  <c r="G39" i="1" s="1"/>
  <c r="Z32" i="1"/>
  <c r="Z37" i="1"/>
  <c r="Z39" i="1" s="1"/>
  <c r="J32" i="1"/>
  <c r="J37" i="1"/>
  <c r="J39" i="1" s="1"/>
  <c r="AE32" i="1" l="1"/>
  <c r="AE31" i="1"/>
  <c r="AD34" i="1" s="1"/>
  <c r="AD37" i="1" s="1"/>
  <c r="AD39" i="1" s="1"/>
  <c r="C39" i="1"/>
  <c r="N41" i="1" s="1"/>
  <c r="B45" i="1"/>
  <c r="B46" i="1" s="1"/>
  <c r="B44" i="1"/>
  <c r="J41" i="1"/>
  <c r="F41" i="1"/>
  <c r="B41" i="1"/>
  <c r="I41" i="1"/>
  <c r="E41" i="1"/>
  <c r="B40" i="1"/>
  <c r="H41" i="1"/>
  <c r="D41" i="1"/>
  <c r="O41" i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G41" i="1"/>
  <c r="C41" i="1"/>
  <c r="K41" i="1" l="1"/>
  <c r="L41" i="1"/>
  <c r="M41" i="1"/>
</calcChain>
</file>

<file path=xl/sharedStrings.xml><?xml version="1.0" encoding="utf-8"?>
<sst xmlns="http://schemas.openxmlformats.org/spreadsheetml/2006/main" count="45" uniqueCount="45">
  <si>
    <t>Fuente:</t>
  </si>
  <si>
    <t>beta desapalancado</t>
  </si>
  <si>
    <t>https://pages.stern.nyu.edu/~adamodar/</t>
  </si>
  <si>
    <t>beta</t>
  </si>
  <si>
    <t>prima de riesgo país</t>
  </si>
  <si>
    <t>E(rm-rf)</t>
  </si>
  <si>
    <t>tasa libre de riesgo</t>
  </si>
  <si>
    <t>rf</t>
  </si>
  <si>
    <t>rm</t>
  </si>
  <si>
    <t>Ke=ko</t>
  </si>
  <si>
    <t>%</t>
  </si>
  <si>
    <t>compra del terreno</t>
  </si>
  <si>
    <t xml:space="preserve">ingresos </t>
  </si>
  <si>
    <t xml:space="preserve">egresos </t>
  </si>
  <si>
    <t>ganancia neta</t>
  </si>
  <si>
    <t>diseño  y armado del proyecto (honorarios)</t>
  </si>
  <si>
    <t>gastos administrativos</t>
  </si>
  <si>
    <t>gastos de comercialización</t>
  </si>
  <si>
    <t>mano de obra/contratistas</t>
  </si>
  <si>
    <t xml:space="preserve">alquileres y servicios </t>
  </si>
  <si>
    <t>insumos estructurales</t>
  </si>
  <si>
    <t>materiales secos/instalaciones</t>
  </si>
  <si>
    <t>revestimientos</t>
  </si>
  <si>
    <t>otros</t>
  </si>
  <si>
    <t>ingresos por preventa</t>
  </si>
  <si>
    <t>adelantos iniciales</t>
  </si>
  <si>
    <t>cuotas</t>
  </si>
  <si>
    <t>ingresos por venta final</t>
  </si>
  <si>
    <t>gastos de escrituración (c/imp.sellos)</t>
  </si>
  <si>
    <t>iva (10,5%) compras</t>
  </si>
  <si>
    <t>iva (21%)compras</t>
  </si>
  <si>
    <t>iva ventas</t>
  </si>
  <si>
    <t>iva a pagar</t>
  </si>
  <si>
    <t>ingresos brutos</t>
  </si>
  <si>
    <t>imp.ganancias</t>
  </si>
  <si>
    <t>flujo de fondos</t>
  </si>
  <si>
    <t>flujo de fondos descontado</t>
  </si>
  <si>
    <t>VAN</t>
  </si>
  <si>
    <t>ff.descontado acumulado</t>
  </si>
  <si>
    <t>VAN=</t>
  </si>
  <si>
    <t>TIR</t>
  </si>
  <si>
    <t>TIR mod</t>
  </si>
  <si>
    <t>ke=ko mensual</t>
  </si>
  <si>
    <t>Payback descontado</t>
  </si>
  <si>
    <t>2,24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</si>
</sst>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0" fillId="3" borderId="1" xfId="0" applyFill="1" applyBorder="1"/>
    <xf numFmtId="164" fontId="0" fillId="3" borderId="1" xfId="1" applyFont="1" applyFill="1" applyBorder="1"/>
    <xf numFmtId="164" fontId="0" fillId="0" borderId="0" xfId="0" applyNumberFormat="1"/>
    <xf numFmtId="0" fontId="0" fillId="3" borderId="3" xfId="0" applyFill="1" applyBorder="1"/>
    <xf numFmtId="16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3" fillId="7" borderId="1" xfId="0" applyNumberFormat="1" applyFont="1" applyFill="1" applyBorder="1"/>
    <xf numFmtId="164" fontId="0" fillId="3" borderId="3" xfId="1" applyFont="1" applyFill="1" applyBorder="1"/>
    <xf numFmtId="0" fontId="0" fillId="3" borderId="2" xfId="0" applyFill="1" applyBorder="1"/>
    <xf numFmtId="164" fontId="0" fillId="3" borderId="2" xfId="1" applyFont="1" applyFill="1" applyBorder="1"/>
    <xf numFmtId="0" fontId="0" fillId="8" borderId="5" xfId="0" applyFill="1" applyBorder="1"/>
    <xf numFmtId="164" fontId="0" fillId="8" borderId="6" xfId="1" applyFont="1" applyFill="1" applyBorder="1"/>
    <xf numFmtId="164" fontId="0" fillId="8" borderId="7" xfId="1" applyFont="1" applyFill="1" applyBorder="1"/>
    <xf numFmtId="0" fontId="0" fillId="3" borderId="0" xfId="0" applyFill="1"/>
    <xf numFmtId="164" fontId="0" fillId="3" borderId="0" xfId="1" applyFont="1" applyFill="1" applyBorder="1"/>
    <xf numFmtId="164" fontId="0" fillId="3" borderId="0" xfId="1" applyFont="1" applyFill="1"/>
    <xf numFmtId="0" fontId="0" fillId="6" borderId="5" xfId="0" applyFill="1" applyBorder="1"/>
    <xf numFmtId="164" fontId="0" fillId="6" borderId="6" xfId="1" applyFont="1" applyFill="1" applyBorder="1"/>
    <xf numFmtId="164" fontId="0" fillId="6" borderId="7" xfId="1" applyFont="1" applyFill="1" applyBorder="1"/>
    <xf numFmtId="0" fontId="0" fillId="5" borderId="8" xfId="0" applyFill="1" applyBorder="1"/>
    <xf numFmtId="164" fontId="0" fillId="5" borderId="9" xfId="1" applyFont="1" applyFill="1" applyBorder="1"/>
    <xf numFmtId="164" fontId="0" fillId="6" borderId="10" xfId="1" applyFont="1" applyFill="1" applyBorder="1"/>
    <xf numFmtId="164" fontId="0" fillId="6" borderId="2" xfId="1" applyFont="1" applyFill="1" applyBorder="1"/>
    <xf numFmtId="0" fontId="0" fillId="6" borderId="2" xfId="0" applyFill="1" applyBorder="1"/>
    <xf numFmtId="0" fontId="0" fillId="9" borderId="1" xfId="0" applyFill="1" applyBorder="1"/>
    <xf numFmtId="164" fontId="0" fillId="9" borderId="1" xfId="1" applyFont="1" applyFill="1" applyBorder="1"/>
    <xf numFmtId="164" fontId="0" fillId="9" borderId="1" xfId="0" applyNumberFormat="1" applyFill="1" applyBorder="1"/>
    <xf numFmtId="2" fontId="0" fillId="0" borderId="0" xfId="0" applyNumberFormat="1"/>
    <xf numFmtId="0" fontId="0" fillId="10" borderId="1" xfId="0" applyFill="1" applyBorder="1"/>
    <xf numFmtId="164" fontId="0" fillId="10" borderId="1" xfId="0" applyNumberFormat="1" applyFill="1" applyBorder="1"/>
    <xf numFmtId="9" fontId="0" fillId="10" borderId="1" xfId="0" applyNumberFormat="1" applyFill="1" applyBorder="1"/>
    <xf numFmtId="10" fontId="0" fillId="10" borderId="1" xfId="0" applyNumberFormat="1" applyFill="1" applyBorder="1"/>
    <xf numFmtId="2" fontId="0" fillId="10" borderId="1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190500</xdr:rowOff>
    </xdr:from>
    <xdr:ext cx="4267200" cy="3130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4C702E1-34A3-524F-837D-FB363B96AF84}"/>
                </a:ext>
              </a:extLst>
            </xdr:cNvPr>
            <xdr:cNvSpPr txBox="1"/>
          </xdr:nvSpPr>
          <xdr:spPr>
            <a:xfrm>
              <a:off x="0" y="393700"/>
              <a:ext cx="4267200" cy="313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𝑟𝑓</m:t>
                    </m:r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s-ES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d>
                      <m:dPr>
                        <m:begChr m:val="["/>
                        <m:endChr m:val="]"/>
                        <m:ctrlP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𝑟𝑚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)−</m:t>
                        </m:r>
                        <m:r>
                          <a:rPr lang="es-ES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𝑟𝑓</m:t>
                        </m:r>
                      </m:e>
                    </m:d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4C702E1-34A3-524F-837D-FB363B96AF84}"/>
                </a:ext>
              </a:extLst>
            </xdr:cNvPr>
            <xdr:cNvSpPr txBox="1"/>
          </xdr:nvSpPr>
          <xdr:spPr>
            <a:xfrm>
              <a:off x="0" y="393700"/>
              <a:ext cx="4267200" cy="3130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𝑘_0=𝑟𝑓+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E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𝑒∗[𝐸(𝑟𝑚)−𝑟𝑓]</a:t>
              </a:r>
              <a:endParaRPr lang="en-US" sz="20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flujo_estoc.xlsx" TargetMode="External"/><Relationship Id="rId1" Type="http://schemas.openxmlformats.org/officeDocument/2006/relationships/externalLinkPath" Target="flujo_est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os"/>
      <sheetName val="ventas"/>
      <sheetName val="flujo de fondos "/>
      <sheetName val="flujo de fondos con riesgo país"/>
      <sheetName val="demoras preventa"/>
      <sheetName val="demoras venta final"/>
      <sheetName val="demoras preventa Y venta final"/>
      <sheetName val="análisis de escenarios"/>
    </sheetNames>
    <sheetDataSet>
      <sheetData sheetId="0">
        <row r="6">
          <cell r="D6">
            <v>382000</v>
          </cell>
        </row>
        <row r="7">
          <cell r="F7">
            <v>9550</v>
          </cell>
        </row>
        <row r="9">
          <cell r="F9">
            <v>15916.666666666666</v>
          </cell>
        </row>
        <row r="11">
          <cell r="F11">
            <v>1591.6666666666667</v>
          </cell>
        </row>
        <row r="17">
          <cell r="L17">
            <v>23805.379587732532</v>
          </cell>
        </row>
        <row r="20">
          <cell r="L20">
            <v>26651.584022038569</v>
          </cell>
        </row>
        <row r="21">
          <cell r="L21">
            <v>11450.303030303032</v>
          </cell>
        </row>
        <row r="22">
          <cell r="L22">
            <v>11845.179063360882</v>
          </cell>
        </row>
        <row r="23">
          <cell r="L23">
            <v>1645.1790633608816</v>
          </cell>
        </row>
        <row r="26">
          <cell r="L26">
            <v>360.28154851684263</v>
          </cell>
        </row>
        <row r="27">
          <cell r="L27">
            <v>630.51784816490692</v>
          </cell>
        </row>
        <row r="28">
          <cell r="L28">
            <v>675.56561085972851</v>
          </cell>
        </row>
        <row r="29">
          <cell r="L29">
            <v>675.56561085972851</v>
          </cell>
        </row>
        <row r="30">
          <cell r="L30">
            <v>1486.2242332830567</v>
          </cell>
        </row>
        <row r="31">
          <cell r="L31">
            <v>675.56561085972851</v>
          </cell>
        </row>
      </sheetData>
      <sheetData sheetId="1">
        <row r="9">
          <cell r="C9">
            <v>21223</v>
          </cell>
        </row>
        <row r="10">
          <cell r="C10">
            <v>127400</v>
          </cell>
        </row>
        <row r="11">
          <cell r="C11">
            <v>13377</v>
          </cell>
        </row>
        <row r="12">
          <cell r="C12">
            <v>3185</v>
          </cell>
        </row>
        <row r="21">
          <cell r="C21">
            <v>42445</v>
          </cell>
        </row>
        <row r="22">
          <cell r="C22">
            <v>169280.54298642534</v>
          </cell>
        </row>
        <row r="23">
          <cell r="C23">
            <v>17774.457013574662</v>
          </cell>
        </row>
        <row r="24">
          <cell r="C24">
            <v>4232.0135746606338</v>
          </cell>
        </row>
        <row r="38">
          <cell r="C38">
            <v>43981.900452488691</v>
          </cell>
          <cell r="D38">
            <v>62307.692307692312</v>
          </cell>
        </row>
        <row r="39">
          <cell r="C39">
            <v>4618.0995475113123</v>
          </cell>
          <cell r="D39">
            <v>6542.3076923076924</v>
          </cell>
        </row>
        <row r="43">
          <cell r="C43">
            <v>6841.6289592760186</v>
          </cell>
          <cell r="D43">
            <v>9692.3076923076933</v>
          </cell>
        </row>
        <row r="44">
          <cell r="C44">
            <v>718.37104072398188</v>
          </cell>
          <cell r="D44">
            <v>1017.6923076923077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32BE-579A-3D44-866F-C7441D40E8B2}">
  <dimension ref="A4:CC52"/>
  <sheetViews>
    <sheetView tabSelected="1" topLeftCell="A19" zoomScale="102" zoomScaleNormal="100" workbookViewId="0">
      <selection activeCell="E11" sqref="E11"/>
    </sheetView>
  </sheetViews>
  <sheetFormatPr defaultColWidth="11" defaultRowHeight="15.95"/>
  <cols>
    <col min="1" max="1" width="35.625" customWidth="1"/>
    <col min="2" max="2" width="15.625" customWidth="1"/>
    <col min="3" max="3" width="13.375" customWidth="1"/>
    <col min="4" max="4" width="13.5" customWidth="1"/>
    <col min="5" max="5" width="13.375" customWidth="1"/>
    <col min="6" max="7" width="13.625" customWidth="1"/>
    <col min="8" max="10" width="13.625" bestFit="1" customWidth="1"/>
    <col min="11" max="12" width="14.125" customWidth="1"/>
    <col min="13" max="15" width="14" customWidth="1"/>
    <col min="16" max="16" width="15.375" customWidth="1"/>
    <col min="17" max="17" width="14.125" customWidth="1"/>
    <col min="18" max="18" width="13.625" customWidth="1"/>
    <col min="19" max="19" width="13.875" customWidth="1"/>
    <col min="20" max="21" width="14.125" customWidth="1"/>
    <col min="22" max="22" width="14.375" customWidth="1"/>
    <col min="23" max="23" width="13.5" customWidth="1"/>
    <col min="24" max="24" width="14.125" customWidth="1"/>
    <col min="25" max="25" width="13.5" customWidth="1"/>
    <col min="26" max="26" width="13.875" customWidth="1"/>
    <col min="27" max="27" width="15.125" bestFit="1" customWidth="1"/>
    <col min="28" max="28" width="14.875" customWidth="1"/>
    <col min="29" max="29" width="13" customWidth="1"/>
    <col min="30" max="30" width="17" customWidth="1"/>
    <col min="31" max="31" width="15.125" bestFit="1" customWidth="1"/>
    <col min="32" max="32" width="15.5" bestFit="1" customWidth="1"/>
    <col min="33" max="33" width="15.125" bestFit="1" customWidth="1"/>
    <col min="34" max="34" width="15.375" customWidth="1"/>
  </cols>
  <sheetData>
    <row r="4" spans="1:34">
      <c r="I4" t="s">
        <v>0</v>
      </c>
    </row>
    <row r="5" spans="1:34">
      <c r="E5" t="s">
        <v>1</v>
      </c>
      <c r="G5">
        <v>1.45</v>
      </c>
      <c r="I5" t="s">
        <v>2</v>
      </c>
    </row>
    <row r="6" spans="1:34" ht="18.95">
      <c r="A6" s="1" t="s">
        <v>3</v>
      </c>
      <c r="B6" s="1">
        <v>1.45</v>
      </c>
      <c r="C6" s="1"/>
      <c r="E6" t="s">
        <v>4</v>
      </c>
      <c r="G6">
        <v>11.62</v>
      </c>
    </row>
    <row r="7" spans="1:34" ht="18.95">
      <c r="A7" s="1" t="s">
        <v>5</v>
      </c>
      <c r="B7" s="1">
        <f>G8-G7</f>
        <v>4.5</v>
      </c>
      <c r="C7" s="1"/>
      <c r="E7" t="s">
        <v>6</v>
      </c>
      <c r="G7">
        <v>4</v>
      </c>
    </row>
    <row r="8" spans="1:34" ht="18.95">
      <c r="A8" s="1" t="s">
        <v>7</v>
      </c>
      <c r="B8" s="1">
        <v>4</v>
      </c>
      <c r="C8" s="1"/>
      <c r="E8" t="s">
        <v>8</v>
      </c>
      <c r="G8">
        <v>8.5</v>
      </c>
    </row>
    <row r="9" spans="1:34" ht="18.95">
      <c r="A9" s="1"/>
      <c r="B9" s="2"/>
      <c r="C9" s="2"/>
    </row>
    <row r="10" spans="1:34" ht="18.95">
      <c r="A10" s="3" t="s">
        <v>9</v>
      </c>
      <c r="B10" s="3">
        <f>B8+B6*B7</f>
        <v>10.524999999999999</v>
      </c>
      <c r="C10" s="4" t="s">
        <v>10</v>
      </c>
    </row>
    <row r="11" spans="1:34" ht="18.95">
      <c r="A11" s="5"/>
      <c r="B11" s="5"/>
      <c r="C11" s="5"/>
    </row>
    <row r="13" spans="1:34">
      <c r="A13" s="6"/>
      <c r="B13" s="6">
        <v>0</v>
      </c>
      <c r="C13" s="6">
        <v>1</v>
      </c>
      <c r="D13" s="6">
        <v>2</v>
      </c>
      <c r="E13" s="6">
        <v>3</v>
      </c>
      <c r="F13" s="6">
        <v>4</v>
      </c>
      <c r="G13" s="6">
        <v>5</v>
      </c>
      <c r="H13" s="6">
        <v>6</v>
      </c>
      <c r="I13" s="6">
        <v>7</v>
      </c>
      <c r="J13" s="6">
        <v>8</v>
      </c>
      <c r="K13" s="6">
        <v>9</v>
      </c>
      <c r="L13" s="6">
        <v>10</v>
      </c>
      <c r="M13" s="6">
        <v>11</v>
      </c>
      <c r="N13" s="6">
        <v>12</v>
      </c>
      <c r="O13" s="6">
        <v>13</v>
      </c>
      <c r="P13" s="6">
        <v>14</v>
      </c>
      <c r="Q13" s="6">
        <v>15</v>
      </c>
      <c r="R13" s="6">
        <v>16</v>
      </c>
      <c r="S13" s="6">
        <v>17</v>
      </c>
      <c r="T13" s="6">
        <v>18</v>
      </c>
      <c r="U13" s="6">
        <v>19</v>
      </c>
      <c r="V13" s="6">
        <v>20</v>
      </c>
      <c r="W13" s="6">
        <v>21</v>
      </c>
      <c r="X13" s="6">
        <v>22</v>
      </c>
      <c r="Y13" s="6">
        <v>23</v>
      </c>
      <c r="Z13" s="6">
        <v>24</v>
      </c>
      <c r="AA13" s="6">
        <v>25</v>
      </c>
      <c r="AB13" s="6">
        <v>26</v>
      </c>
      <c r="AC13" s="6">
        <v>27</v>
      </c>
      <c r="AD13" s="6">
        <v>28</v>
      </c>
    </row>
    <row r="14" spans="1:34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6"/>
      <c r="AC14" s="6"/>
      <c r="AD14" s="6"/>
    </row>
    <row r="15" spans="1:34">
      <c r="A15" s="6" t="s">
        <v>11</v>
      </c>
      <c r="B15" s="7"/>
      <c r="C15" s="7"/>
      <c r="D15" s="7"/>
      <c r="E15" s="7">
        <f>-[1]costos!D6</f>
        <v>-382000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6"/>
      <c r="AC15" s="6"/>
      <c r="AD15" s="6"/>
      <c r="AF15" t="s">
        <v>12</v>
      </c>
      <c r="AG15" t="s">
        <v>13</v>
      </c>
      <c r="AH15" t="s">
        <v>14</v>
      </c>
    </row>
    <row r="16" spans="1:34">
      <c r="A16" s="6" t="s">
        <v>15</v>
      </c>
      <c r="B16" s="7">
        <f>-[1]costos!F7</f>
        <v>-9550</v>
      </c>
      <c r="C16" s="7">
        <f t="shared" ref="C16:G16" si="0">$B$16</f>
        <v>-9550</v>
      </c>
      <c r="D16" s="7">
        <f t="shared" si="0"/>
        <v>-9550</v>
      </c>
      <c r="E16" s="7">
        <f t="shared" si="0"/>
        <v>-9550</v>
      </c>
      <c r="F16" s="7">
        <f t="shared" si="0"/>
        <v>-9550</v>
      </c>
      <c r="G16" s="7">
        <f t="shared" si="0"/>
        <v>-9550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6"/>
      <c r="AC16" s="6"/>
      <c r="AD16" s="6"/>
      <c r="AE16" s="8"/>
      <c r="AF16" s="8">
        <f>SUM(H26:AD29)</f>
        <v>2137891.6561085973</v>
      </c>
      <c r="AG16" s="8">
        <f>SUM(B15:AD24)+AA30+AC30+AD30+AA35+AC35+AD35</f>
        <v>-1776623.7335926099</v>
      </c>
      <c r="AH16" s="8">
        <f>AF16+AG16</f>
        <v>361267.92251598742</v>
      </c>
    </row>
    <row r="17" spans="1:81">
      <c r="A17" s="6" t="s">
        <v>16</v>
      </c>
      <c r="B17" s="6"/>
      <c r="C17" s="7">
        <f>-[1]costos!F11</f>
        <v>-1591.6666666666667</v>
      </c>
      <c r="D17" s="7">
        <f t="shared" ref="D17:Z17" si="1">$C$17</f>
        <v>-1591.6666666666667</v>
      </c>
      <c r="E17" s="7">
        <f t="shared" si="1"/>
        <v>-1591.6666666666667</v>
      </c>
      <c r="F17" s="7">
        <f t="shared" si="1"/>
        <v>-1591.6666666666667</v>
      </c>
      <c r="G17" s="7">
        <f t="shared" si="1"/>
        <v>-1591.6666666666667</v>
      </c>
      <c r="H17" s="7">
        <f t="shared" si="1"/>
        <v>-1591.6666666666667</v>
      </c>
      <c r="I17" s="7">
        <f t="shared" si="1"/>
        <v>-1591.6666666666667</v>
      </c>
      <c r="J17" s="7">
        <f t="shared" si="1"/>
        <v>-1591.6666666666667</v>
      </c>
      <c r="K17" s="7">
        <f t="shared" si="1"/>
        <v>-1591.6666666666667</v>
      </c>
      <c r="L17" s="7">
        <f t="shared" si="1"/>
        <v>-1591.6666666666667</v>
      </c>
      <c r="M17" s="7">
        <f t="shared" si="1"/>
        <v>-1591.6666666666667</v>
      </c>
      <c r="N17" s="7">
        <f t="shared" si="1"/>
        <v>-1591.6666666666667</v>
      </c>
      <c r="O17" s="7">
        <f t="shared" si="1"/>
        <v>-1591.6666666666667</v>
      </c>
      <c r="P17" s="7">
        <f t="shared" si="1"/>
        <v>-1591.6666666666667</v>
      </c>
      <c r="Q17" s="7">
        <f t="shared" si="1"/>
        <v>-1591.6666666666667</v>
      </c>
      <c r="R17" s="7">
        <f t="shared" si="1"/>
        <v>-1591.6666666666667</v>
      </c>
      <c r="S17" s="7">
        <f t="shared" si="1"/>
        <v>-1591.6666666666667</v>
      </c>
      <c r="T17" s="7">
        <f t="shared" si="1"/>
        <v>-1591.6666666666667</v>
      </c>
      <c r="U17" s="7">
        <f t="shared" si="1"/>
        <v>-1591.6666666666667</v>
      </c>
      <c r="V17" s="7">
        <f t="shared" si="1"/>
        <v>-1591.6666666666667</v>
      </c>
      <c r="W17" s="7">
        <f t="shared" si="1"/>
        <v>-1591.6666666666667</v>
      </c>
      <c r="X17" s="7">
        <f t="shared" si="1"/>
        <v>-1591.6666666666667</v>
      </c>
      <c r="Y17" s="7">
        <f t="shared" si="1"/>
        <v>-1591.6666666666667</v>
      </c>
      <c r="Z17" s="7">
        <f t="shared" si="1"/>
        <v>-1591.6666666666667</v>
      </c>
      <c r="AA17" s="7"/>
      <c r="AB17" s="7"/>
      <c r="AC17" s="7"/>
      <c r="AD17" s="7"/>
      <c r="AE17" s="8"/>
      <c r="AF17" s="8"/>
    </row>
    <row r="18" spans="1:81">
      <c r="A18" s="6" t="s">
        <v>17</v>
      </c>
      <c r="B18" s="7"/>
      <c r="C18" s="7"/>
      <c r="D18" s="7"/>
      <c r="E18" s="7"/>
      <c r="F18" s="7">
        <f>-[1]costos!F9</f>
        <v>-15916.666666666666</v>
      </c>
      <c r="G18" s="7">
        <f>$F$18</f>
        <v>-15916.666666666666</v>
      </c>
      <c r="H18" s="7">
        <f t="shared" ref="H18:K18" si="2">$F$18</f>
        <v>-15916.666666666666</v>
      </c>
      <c r="I18" s="7">
        <f t="shared" si="2"/>
        <v>-15916.666666666666</v>
      </c>
      <c r="J18" s="7">
        <f t="shared" si="2"/>
        <v>-15916.666666666666</v>
      </c>
      <c r="K18" s="7">
        <f t="shared" si="2"/>
        <v>-15916.666666666666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6"/>
      <c r="AC18" s="6"/>
      <c r="AD18" s="6"/>
      <c r="AE18" s="8"/>
      <c r="AG18" s="8"/>
    </row>
    <row r="19" spans="1:81" s="12" customFormat="1">
      <c r="A19" s="6" t="s">
        <v>18</v>
      </c>
      <c r="B19" s="7"/>
      <c r="C19" s="7"/>
      <c r="D19" s="7"/>
      <c r="E19" s="7"/>
      <c r="F19" s="7"/>
      <c r="G19" s="7"/>
      <c r="H19" s="7"/>
      <c r="I19" s="7">
        <f>-[1]costos!L17</f>
        <v>-23805.379587732532</v>
      </c>
      <c r="J19" s="7">
        <f t="shared" ref="J19:Z19" si="3">$I$19</f>
        <v>-23805.379587732532</v>
      </c>
      <c r="K19" s="7">
        <f t="shared" si="3"/>
        <v>-23805.379587732532</v>
      </c>
      <c r="L19" s="7">
        <f t="shared" si="3"/>
        <v>-23805.379587732532</v>
      </c>
      <c r="M19" s="7">
        <f t="shared" si="3"/>
        <v>-23805.379587732532</v>
      </c>
      <c r="N19" s="7">
        <f t="shared" si="3"/>
        <v>-23805.379587732532</v>
      </c>
      <c r="O19" s="7">
        <f t="shared" si="3"/>
        <v>-23805.379587732532</v>
      </c>
      <c r="P19" s="7">
        <f t="shared" si="3"/>
        <v>-23805.379587732532</v>
      </c>
      <c r="Q19" s="7">
        <f t="shared" si="3"/>
        <v>-23805.379587732532</v>
      </c>
      <c r="R19" s="7">
        <f t="shared" si="3"/>
        <v>-23805.379587732532</v>
      </c>
      <c r="S19" s="7">
        <f t="shared" si="3"/>
        <v>-23805.379587732532</v>
      </c>
      <c r="T19" s="7">
        <f t="shared" si="3"/>
        <v>-23805.379587732532</v>
      </c>
      <c r="U19" s="7">
        <f t="shared" si="3"/>
        <v>-23805.379587732532</v>
      </c>
      <c r="V19" s="7">
        <f t="shared" si="3"/>
        <v>-23805.379587732532</v>
      </c>
      <c r="W19" s="7">
        <f t="shared" si="3"/>
        <v>-23805.379587732532</v>
      </c>
      <c r="X19" s="7">
        <f t="shared" si="3"/>
        <v>-23805.379587732532</v>
      </c>
      <c r="Y19" s="7">
        <f t="shared" si="3"/>
        <v>-23805.379587732532</v>
      </c>
      <c r="Z19" s="7">
        <f t="shared" si="3"/>
        <v>-23805.379587732532</v>
      </c>
      <c r="AA19" s="7"/>
      <c r="AB19" s="6"/>
      <c r="AC19" s="6"/>
      <c r="AD19" s="9"/>
      <c r="AE19" s="10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</row>
    <row r="20" spans="1:81" s="12" customFormat="1">
      <c r="A20" s="6" t="s">
        <v>19</v>
      </c>
      <c r="B20" s="7"/>
      <c r="C20" s="7"/>
      <c r="D20" s="7"/>
      <c r="E20" s="7"/>
      <c r="F20" s="7"/>
      <c r="G20" s="7"/>
      <c r="H20" s="7"/>
      <c r="I20" s="7">
        <f>-([1]costos!L26+[1]costos!L27+[1]costos!L28+[1]costos!L29+[1]costos!L30+[1]costos!L31)</f>
        <v>-4503.7204625439917</v>
      </c>
      <c r="J20" s="7">
        <f t="shared" ref="J20:Z20" si="4">$I$20</f>
        <v>-4503.7204625439917</v>
      </c>
      <c r="K20" s="7">
        <f t="shared" si="4"/>
        <v>-4503.7204625439917</v>
      </c>
      <c r="L20" s="7">
        <f t="shared" si="4"/>
        <v>-4503.7204625439917</v>
      </c>
      <c r="M20" s="7">
        <f t="shared" si="4"/>
        <v>-4503.7204625439917</v>
      </c>
      <c r="N20" s="7">
        <f t="shared" si="4"/>
        <v>-4503.7204625439917</v>
      </c>
      <c r="O20" s="7">
        <f t="shared" si="4"/>
        <v>-4503.7204625439917</v>
      </c>
      <c r="P20" s="7">
        <f t="shared" si="4"/>
        <v>-4503.7204625439917</v>
      </c>
      <c r="Q20" s="7">
        <f t="shared" si="4"/>
        <v>-4503.7204625439917</v>
      </c>
      <c r="R20" s="7">
        <f t="shared" si="4"/>
        <v>-4503.7204625439917</v>
      </c>
      <c r="S20" s="7">
        <f t="shared" si="4"/>
        <v>-4503.7204625439917</v>
      </c>
      <c r="T20" s="7">
        <f t="shared" si="4"/>
        <v>-4503.7204625439917</v>
      </c>
      <c r="U20" s="7">
        <f t="shared" si="4"/>
        <v>-4503.7204625439917</v>
      </c>
      <c r="V20" s="7">
        <f t="shared" si="4"/>
        <v>-4503.7204625439917</v>
      </c>
      <c r="W20" s="7">
        <f t="shared" si="4"/>
        <v>-4503.7204625439917</v>
      </c>
      <c r="X20" s="7">
        <f t="shared" si="4"/>
        <v>-4503.7204625439917</v>
      </c>
      <c r="Y20" s="7">
        <f t="shared" si="4"/>
        <v>-4503.7204625439917</v>
      </c>
      <c r="Z20" s="7">
        <f t="shared" si="4"/>
        <v>-4503.7204625439917</v>
      </c>
      <c r="AA20" s="7"/>
      <c r="AB20" s="6"/>
      <c r="AC20" s="6"/>
      <c r="AD20" s="9"/>
      <c r="AE20" s="10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</row>
    <row r="21" spans="1:81" s="13" customFormat="1">
      <c r="A21" s="6" t="s">
        <v>20</v>
      </c>
      <c r="B21" s="7"/>
      <c r="C21" s="7"/>
      <c r="D21" s="7"/>
      <c r="E21" s="7"/>
      <c r="F21" s="7"/>
      <c r="G21" s="7"/>
      <c r="H21" s="7"/>
      <c r="I21" s="7">
        <f>-[1]costos!L20</f>
        <v>-26651.584022038569</v>
      </c>
      <c r="J21" s="7">
        <f t="shared" ref="J21:T21" si="5">$I$21</f>
        <v>-26651.584022038569</v>
      </c>
      <c r="K21" s="7">
        <f t="shared" si="5"/>
        <v>-26651.584022038569</v>
      </c>
      <c r="L21" s="7">
        <f t="shared" si="5"/>
        <v>-26651.584022038569</v>
      </c>
      <c r="M21" s="7">
        <f t="shared" si="5"/>
        <v>-26651.584022038569</v>
      </c>
      <c r="N21" s="7">
        <f t="shared" si="5"/>
        <v>-26651.584022038569</v>
      </c>
      <c r="O21" s="7">
        <f t="shared" si="5"/>
        <v>-26651.584022038569</v>
      </c>
      <c r="P21" s="7">
        <f t="shared" si="5"/>
        <v>-26651.584022038569</v>
      </c>
      <c r="Q21" s="7">
        <f t="shared" si="5"/>
        <v>-26651.584022038569</v>
      </c>
      <c r="R21" s="7">
        <f t="shared" si="5"/>
        <v>-26651.584022038569</v>
      </c>
      <c r="S21" s="7">
        <f t="shared" si="5"/>
        <v>-26651.584022038569</v>
      </c>
      <c r="T21" s="7">
        <f t="shared" si="5"/>
        <v>-26651.584022038569</v>
      </c>
      <c r="U21" s="7"/>
      <c r="V21" s="7"/>
      <c r="W21" s="7"/>
      <c r="X21" s="7"/>
      <c r="Y21" s="7"/>
      <c r="Z21" s="7"/>
      <c r="AA21" s="7"/>
      <c r="AB21" s="6"/>
      <c r="AC21" s="6"/>
      <c r="AD21" s="9"/>
      <c r="AE21" s="10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</row>
    <row r="22" spans="1:81" s="13" customFormat="1">
      <c r="A22" s="6" t="s">
        <v>21</v>
      </c>
      <c r="B22" s="7"/>
      <c r="C22" s="7"/>
      <c r="D22" s="7"/>
      <c r="E22" s="7"/>
      <c r="F22" s="7"/>
      <c r="G22" s="7"/>
      <c r="H22" s="7"/>
      <c r="I22" s="7">
        <f>-[1]costos!L21</f>
        <v>-11450.303030303032</v>
      </c>
      <c r="J22" s="7">
        <f t="shared" ref="J22:W22" si="6">$I$22</f>
        <v>-11450.303030303032</v>
      </c>
      <c r="K22" s="7">
        <f t="shared" si="6"/>
        <v>-11450.303030303032</v>
      </c>
      <c r="L22" s="7">
        <f t="shared" si="6"/>
        <v>-11450.303030303032</v>
      </c>
      <c r="M22" s="7">
        <f t="shared" si="6"/>
        <v>-11450.303030303032</v>
      </c>
      <c r="N22" s="7">
        <f t="shared" si="6"/>
        <v>-11450.303030303032</v>
      </c>
      <c r="O22" s="7">
        <f t="shared" si="6"/>
        <v>-11450.303030303032</v>
      </c>
      <c r="P22" s="7">
        <f t="shared" si="6"/>
        <v>-11450.303030303032</v>
      </c>
      <c r="Q22" s="7">
        <f t="shared" si="6"/>
        <v>-11450.303030303032</v>
      </c>
      <c r="R22" s="7">
        <f t="shared" si="6"/>
        <v>-11450.303030303032</v>
      </c>
      <c r="S22" s="7">
        <f t="shared" si="6"/>
        <v>-11450.303030303032</v>
      </c>
      <c r="T22" s="7">
        <f t="shared" si="6"/>
        <v>-11450.303030303032</v>
      </c>
      <c r="U22" s="7">
        <f t="shared" si="6"/>
        <v>-11450.303030303032</v>
      </c>
      <c r="V22" s="7">
        <f t="shared" si="6"/>
        <v>-11450.303030303032</v>
      </c>
      <c r="W22" s="7">
        <f t="shared" si="6"/>
        <v>-11450.303030303032</v>
      </c>
      <c r="X22" s="7"/>
      <c r="Y22" s="7"/>
      <c r="Z22" s="7"/>
      <c r="AA22" s="7"/>
      <c r="AB22" s="6"/>
      <c r="AC22" s="6"/>
      <c r="AD22" s="9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</row>
    <row r="23" spans="1:81" s="13" customFormat="1">
      <c r="A23" s="6" t="s">
        <v>22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f>-[1]costos!L22</f>
        <v>-11845.179063360882</v>
      </c>
      <c r="U23" s="14">
        <f t="shared" ref="U23:Y23" si="7">$T$23</f>
        <v>-11845.179063360882</v>
      </c>
      <c r="V23" s="14">
        <f t="shared" si="7"/>
        <v>-11845.179063360882</v>
      </c>
      <c r="W23" s="7">
        <f t="shared" si="7"/>
        <v>-11845.179063360882</v>
      </c>
      <c r="X23" s="7">
        <f t="shared" si="7"/>
        <v>-11845.179063360882</v>
      </c>
      <c r="Y23" s="7">
        <f t="shared" si="7"/>
        <v>-11845.179063360882</v>
      </c>
      <c r="Z23" s="7"/>
      <c r="AA23" s="7"/>
      <c r="AB23" s="6"/>
      <c r="AC23" s="6"/>
      <c r="AD23" s="9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</row>
    <row r="24" spans="1:81" s="13" customFormat="1">
      <c r="A24" s="6" t="s">
        <v>23</v>
      </c>
      <c r="B24" s="7"/>
      <c r="C24" s="7"/>
      <c r="D24" s="7"/>
      <c r="E24" s="7"/>
      <c r="F24" s="7"/>
      <c r="G24" s="7"/>
      <c r="H24" s="7"/>
      <c r="I24" s="7">
        <f>-[1]costos!L23</f>
        <v>-1645.1790633608816</v>
      </c>
      <c r="J24" s="7">
        <f t="shared" ref="J24:Z24" si="8">$I$24</f>
        <v>-1645.1790633608816</v>
      </c>
      <c r="K24" s="7">
        <f t="shared" si="8"/>
        <v>-1645.1790633608816</v>
      </c>
      <c r="L24" s="7">
        <f t="shared" si="8"/>
        <v>-1645.1790633608816</v>
      </c>
      <c r="M24" s="7">
        <f t="shared" si="8"/>
        <v>-1645.1790633608816</v>
      </c>
      <c r="N24" s="7">
        <f t="shared" si="8"/>
        <v>-1645.1790633608816</v>
      </c>
      <c r="O24" s="7">
        <f t="shared" si="8"/>
        <v>-1645.1790633608816</v>
      </c>
      <c r="P24" s="7">
        <f t="shared" si="8"/>
        <v>-1645.1790633608816</v>
      </c>
      <c r="Q24" s="7">
        <f t="shared" si="8"/>
        <v>-1645.1790633608816</v>
      </c>
      <c r="R24" s="7">
        <f t="shared" si="8"/>
        <v>-1645.1790633608816</v>
      </c>
      <c r="S24" s="7">
        <f t="shared" si="8"/>
        <v>-1645.1790633608816</v>
      </c>
      <c r="T24" s="7">
        <f t="shared" si="8"/>
        <v>-1645.1790633608816</v>
      </c>
      <c r="U24" s="7">
        <f t="shared" si="8"/>
        <v>-1645.1790633608816</v>
      </c>
      <c r="V24" s="7">
        <f t="shared" si="8"/>
        <v>-1645.1790633608816</v>
      </c>
      <c r="W24" s="7">
        <f t="shared" si="8"/>
        <v>-1645.1790633608816</v>
      </c>
      <c r="X24" s="7">
        <f t="shared" si="8"/>
        <v>-1645.1790633608816</v>
      </c>
      <c r="Y24" s="7">
        <f t="shared" si="8"/>
        <v>-1645.1790633608816</v>
      </c>
      <c r="Z24" s="7">
        <f t="shared" si="8"/>
        <v>-1645.1790633608816</v>
      </c>
      <c r="AA24" s="7"/>
      <c r="AB24" s="6"/>
      <c r="AC24" s="6"/>
      <c r="AD24" s="9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</row>
    <row r="25" spans="1:81">
      <c r="A25" s="6" t="s">
        <v>24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5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</row>
    <row r="26" spans="1:81">
      <c r="A26" s="6" t="s">
        <v>25</v>
      </c>
      <c r="B26" s="7"/>
      <c r="C26" s="7"/>
      <c r="D26" s="7"/>
      <c r="E26" s="7"/>
      <c r="F26" s="7"/>
      <c r="G26" s="7"/>
      <c r="H26" s="7">
        <f>[1]ventas!C38+[1]ventas!D38</f>
        <v>106289.592760181</v>
      </c>
      <c r="I26" s="7">
        <f>[1]ventas!C38+[1]ventas!D38</f>
        <v>106289.592760181</v>
      </c>
      <c r="J26" s="7">
        <f>[1]ventas!C38+[1]ventas!D38</f>
        <v>106289.592760181</v>
      </c>
      <c r="K26" s="7">
        <f>[1]ventas!C38+[1]ventas!D38</f>
        <v>106289.592760181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5"/>
      <c r="AE26" s="11"/>
      <c r="AF26" s="10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</row>
    <row r="27" spans="1:81">
      <c r="A27" s="6" t="s">
        <v>26</v>
      </c>
      <c r="B27" s="7"/>
      <c r="C27" s="7"/>
      <c r="D27" s="7"/>
      <c r="E27" s="7"/>
      <c r="F27" s="7"/>
      <c r="G27" s="7"/>
      <c r="H27" s="7"/>
      <c r="I27" s="7"/>
      <c r="J27" s="7">
        <f>[1]ventas!C43+[1]ventas!D43</f>
        <v>16533.93665158371</v>
      </c>
      <c r="K27" s="7">
        <f>[1]ventas!C43*2+[1]ventas!D43*2</f>
        <v>33067.87330316742</v>
      </c>
      <c r="L27" s="7">
        <f>[1]ventas!C43*3+[1]ventas!D43*3</f>
        <v>49601.809954751137</v>
      </c>
      <c r="M27" s="7">
        <f>[1]ventas!C43*4+[1]ventas!D43*4</f>
        <v>66135.74660633484</v>
      </c>
      <c r="N27" s="7">
        <f t="shared" ref="N27:X27" si="9">$M$27</f>
        <v>66135.74660633484</v>
      </c>
      <c r="O27" s="7">
        <f t="shared" si="9"/>
        <v>66135.74660633484</v>
      </c>
      <c r="P27" s="7">
        <f t="shared" si="9"/>
        <v>66135.74660633484</v>
      </c>
      <c r="Q27" s="7">
        <f t="shared" si="9"/>
        <v>66135.74660633484</v>
      </c>
      <c r="R27" s="7">
        <f t="shared" si="9"/>
        <v>66135.74660633484</v>
      </c>
      <c r="S27" s="7">
        <f t="shared" si="9"/>
        <v>66135.74660633484</v>
      </c>
      <c r="T27" s="7">
        <f t="shared" si="9"/>
        <v>66135.74660633484</v>
      </c>
      <c r="U27" s="7">
        <f t="shared" si="9"/>
        <v>66135.74660633484</v>
      </c>
      <c r="V27" s="7">
        <f t="shared" si="9"/>
        <v>66135.74660633484</v>
      </c>
      <c r="W27" s="7">
        <f t="shared" si="9"/>
        <v>66135.74660633484</v>
      </c>
      <c r="X27" s="7">
        <f t="shared" si="9"/>
        <v>66135.74660633484</v>
      </c>
      <c r="Y27" s="7">
        <f>$L$27</f>
        <v>49601.809954751137</v>
      </c>
      <c r="Z27" s="7">
        <f>$K$27</f>
        <v>33067.87330316742</v>
      </c>
      <c r="AA27" s="7">
        <f>$J$27</f>
        <v>16533.93665158371</v>
      </c>
      <c r="AB27" s="7"/>
      <c r="AC27" s="7"/>
      <c r="AD27" s="15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</row>
    <row r="28" spans="1:81">
      <c r="A28" s="6" t="s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f>[1]ventas!C9+[1]ventas!C10+[1]ventas!C21+[1]ventas!C22</f>
        <v>360348.54298642534</v>
      </c>
      <c r="AD28" s="7">
        <f>[1]ventas!C9+[1]ventas!C10+[1]ventas!C21+[1]ventas!C22</f>
        <v>360348.54298642534</v>
      </c>
      <c r="AF28" s="8"/>
    </row>
    <row r="29" spans="1:81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81">
      <c r="A30" s="6" t="s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-38200</v>
      </c>
      <c r="AB30" s="6"/>
      <c r="AC30" s="7">
        <f>-9550</f>
        <v>-9550</v>
      </c>
      <c r="AD30" s="7">
        <v>-9550</v>
      </c>
    </row>
    <row r="31" spans="1:81">
      <c r="A31" s="16" t="s">
        <v>29</v>
      </c>
      <c r="B31" s="17"/>
      <c r="C31" s="17"/>
      <c r="D31" s="17"/>
      <c r="E31" s="17"/>
      <c r="F31" s="17"/>
      <c r="G31" s="17"/>
      <c r="H31" s="17"/>
      <c r="I31" s="17">
        <f>(I19+I20)*10.5%</f>
        <v>-2972.4555052790347</v>
      </c>
      <c r="J31" s="17">
        <f>(J19+J20)*10.5%</f>
        <v>-2972.4555052790347</v>
      </c>
      <c r="K31" s="17">
        <f>(K19+K20)*10.5%</f>
        <v>-2972.4555052790347</v>
      </c>
      <c r="L31" s="17">
        <f t="shared" ref="L31:Z31" si="10">(L19+L20)*10.5%</f>
        <v>-2972.4555052790347</v>
      </c>
      <c r="M31" s="17">
        <f t="shared" si="10"/>
        <v>-2972.4555052790347</v>
      </c>
      <c r="N31" s="17">
        <f t="shared" si="10"/>
        <v>-2972.4555052790347</v>
      </c>
      <c r="O31" s="17">
        <f t="shared" si="10"/>
        <v>-2972.4555052790347</v>
      </c>
      <c r="P31" s="17">
        <f t="shared" si="10"/>
        <v>-2972.4555052790347</v>
      </c>
      <c r="Q31" s="17">
        <f t="shared" si="10"/>
        <v>-2972.4555052790347</v>
      </c>
      <c r="R31" s="17">
        <f t="shared" si="10"/>
        <v>-2972.4555052790347</v>
      </c>
      <c r="S31" s="17">
        <f t="shared" si="10"/>
        <v>-2972.4555052790347</v>
      </c>
      <c r="T31" s="17">
        <f t="shared" si="10"/>
        <v>-2972.4555052790347</v>
      </c>
      <c r="U31" s="17">
        <f t="shared" si="10"/>
        <v>-2972.4555052790347</v>
      </c>
      <c r="V31" s="17">
        <f t="shared" si="10"/>
        <v>-2972.4555052790347</v>
      </c>
      <c r="W31" s="17">
        <f t="shared" si="10"/>
        <v>-2972.4555052790347</v>
      </c>
      <c r="X31" s="17">
        <f t="shared" si="10"/>
        <v>-2972.4555052790347</v>
      </c>
      <c r="Y31" s="17">
        <f t="shared" si="10"/>
        <v>-2972.4555052790347</v>
      </c>
      <c r="Z31" s="17">
        <f t="shared" si="10"/>
        <v>-2972.4555052790347</v>
      </c>
      <c r="AA31" s="17"/>
      <c r="AB31" s="17"/>
      <c r="AC31" s="17"/>
      <c r="AD31" s="17"/>
      <c r="AE31" s="8">
        <f>SUM(I31:AD31)</f>
        <v>-53504.199095022646</v>
      </c>
      <c r="AF31" s="8"/>
    </row>
    <row r="32" spans="1:81">
      <c r="A32" s="16" t="s">
        <v>30</v>
      </c>
      <c r="B32" s="17">
        <f>B16*21%</f>
        <v>-2005.5</v>
      </c>
      <c r="C32" s="17">
        <f>(C16+C17)*21%</f>
        <v>-2339.75</v>
      </c>
      <c r="D32" s="17">
        <f>(D16+D17)*21%</f>
        <v>-2339.75</v>
      </c>
      <c r="E32" s="17">
        <f>(E16+E17)*21%</f>
        <v>-2339.75</v>
      </c>
      <c r="F32" s="17">
        <f>(F16+F17+F18)*21%</f>
        <v>-5682.2499999999991</v>
      </c>
      <c r="G32" s="17">
        <f>(G16+G17+G18)*21%</f>
        <v>-5682.2499999999991</v>
      </c>
      <c r="H32" s="17">
        <f>(H17+H18)*21%</f>
        <v>-3676.7499999999995</v>
      </c>
      <c r="I32" s="17">
        <f>(I17+I18+I21+I22+I24+I23)*21%</f>
        <v>-12023.63388429752</v>
      </c>
      <c r="J32" s="17">
        <f t="shared" ref="J32:K32" si="11">(J17+J18+J21+J22+J24+J23)*21%</f>
        <v>-12023.63388429752</v>
      </c>
      <c r="K32" s="17">
        <f t="shared" si="11"/>
        <v>-12023.63388429752</v>
      </c>
      <c r="L32" s="17">
        <f>(L17+L18+L21+L22+L24+L23)*21%</f>
        <v>-8681.1338842975219</v>
      </c>
      <c r="M32" s="17">
        <f t="shared" ref="M32:S32" si="12">(M17+M18+M21+M22+M24+M23)*21%</f>
        <v>-8681.1338842975219</v>
      </c>
      <c r="N32" s="17">
        <f t="shared" si="12"/>
        <v>-8681.1338842975219</v>
      </c>
      <c r="O32" s="17">
        <f t="shared" si="12"/>
        <v>-8681.1338842975219</v>
      </c>
      <c r="P32" s="17">
        <f t="shared" si="12"/>
        <v>-8681.1338842975219</v>
      </c>
      <c r="Q32" s="17">
        <f t="shared" si="12"/>
        <v>-8681.1338842975219</v>
      </c>
      <c r="R32" s="17">
        <f t="shared" si="12"/>
        <v>-8681.1338842975219</v>
      </c>
      <c r="S32" s="17">
        <f t="shared" si="12"/>
        <v>-8681.1338842975219</v>
      </c>
      <c r="T32" s="17">
        <f>(T17+T18+T21+T22+T24+T23)*21%</f>
        <v>-11168.621487603306</v>
      </c>
      <c r="U32" s="17">
        <f t="shared" ref="U32:Z32" si="13">(U17+U18+U21+U22+U24+U23)*21%</f>
        <v>-5571.7888429752074</v>
      </c>
      <c r="V32" s="17">
        <f t="shared" si="13"/>
        <v>-5571.7888429752074</v>
      </c>
      <c r="W32" s="17">
        <f t="shared" si="13"/>
        <v>-5571.7888429752074</v>
      </c>
      <c r="X32" s="17">
        <f t="shared" si="13"/>
        <v>-3167.2252066115702</v>
      </c>
      <c r="Y32" s="17">
        <f t="shared" si="13"/>
        <v>-3167.2252066115702</v>
      </c>
      <c r="Z32" s="17">
        <f t="shared" si="13"/>
        <v>-679.73760330578523</v>
      </c>
      <c r="AA32" s="17"/>
      <c r="AB32" s="17"/>
      <c r="AC32" s="17"/>
      <c r="AD32" s="17"/>
      <c r="AE32" s="8">
        <f>SUM(B32:AD32)</f>
        <v>-164484.14876033063</v>
      </c>
      <c r="AF32" s="8"/>
    </row>
    <row r="33" spans="1:32">
      <c r="A33" s="16" t="s">
        <v>31</v>
      </c>
      <c r="B33" s="17"/>
      <c r="C33" s="17"/>
      <c r="D33" s="17"/>
      <c r="E33" s="17"/>
      <c r="F33" s="17"/>
      <c r="G33" s="17"/>
      <c r="H33" s="17">
        <f>[1]ventas!C39+[1]ventas!D39</f>
        <v>11160.407239819004</v>
      </c>
      <c r="I33" s="17">
        <f>$H$33</f>
        <v>11160.407239819004</v>
      </c>
      <c r="J33" s="17">
        <f>[1]ventas!C39+[1]ventas!D39+[1]ventas!C44+[1]ventas!D44</f>
        <v>12896.470588235294</v>
      </c>
      <c r="K33" s="17">
        <f>[1]ventas!C39+[1]ventas!D39+[1]ventas!C44*2+[1]ventas!D44*2</f>
        <v>14632.533936651582</v>
      </c>
      <c r="L33" s="17">
        <f>[1]ventas!C44*3+[1]ventas!D44*3</f>
        <v>5208.190045248869</v>
      </c>
      <c r="M33" s="17">
        <f>[1]ventas!C44*4+[1]ventas!D44*4</f>
        <v>6944.253393665158</v>
      </c>
      <c r="N33" s="17">
        <f t="shared" ref="N33:X33" si="14">$M$33</f>
        <v>6944.253393665158</v>
      </c>
      <c r="O33" s="17">
        <f t="shared" si="14"/>
        <v>6944.253393665158</v>
      </c>
      <c r="P33" s="17">
        <f t="shared" si="14"/>
        <v>6944.253393665158</v>
      </c>
      <c r="Q33" s="17">
        <f t="shared" si="14"/>
        <v>6944.253393665158</v>
      </c>
      <c r="R33" s="17">
        <f t="shared" si="14"/>
        <v>6944.253393665158</v>
      </c>
      <c r="S33" s="17">
        <f t="shared" si="14"/>
        <v>6944.253393665158</v>
      </c>
      <c r="T33" s="17">
        <f t="shared" si="14"/>
        <v>6944.253393665158</v>
      </c>
      <c r="U33" s="17">
        <f t="shared" si="14"/>
        <v>6944.253393665158</v>
      </c>
      <c r="V33" s="17">
        <f t="shared" si="14"/>
        <v>6944.253393665158</v>
      </c>
      <c r="W33" s="17">
        <f t="shared" si="14"/>
        <v>6944.253393665158</v>
      </c>
      <c r="X33" s="17">
        <f t="shared" si="14"/>
        <v>6944.253393665158</v>
      </c>
      <c r="Y33" s="17">
        <f>$L$33</f>
        <v>5208.190045248869</v>
      </c>
      <c r="Z33" s="17">
        <f>[1]ventas!C44*2+[1]ventas!D44*2</f>
        <v>3472.126696832579</v>
      </c>
      <c r="AA33" s="17">
        <f>[1]ventas!C44+[1]ventas!D44</f>
        <v>1736.0633484162895</v>
      </c>
      <c r="AB33" s="17"/>
      <c r="AC33" s="17">
        <f>[1]ventas!C11+[1]ventas!C23</f>
        <v>31151.457013574662</v>
      </c>
      <c r="AD33" s="17">
        <f>[1]ventas!C11+[1]ventas!C23</f>
        <v>31151.457013574662</v>
      </c>
      <c r="AE33" s="8">
        <f>SUM(B33:AD33)</f>
        <v>211108.34389140271</v>
      </c>
      <c r="AF33" s="8"/>
    </row>
    <row r="34" spans="1:32">
      <c r="A34" s="16" t="s">
        <v>32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>
        <f>AE31+AE32+AE33</f>
        <v>-6880.0039639505558</v>
      </c>
      <c r="AE34" s="8"/>
      <c r="AF34" s="8"/>
    </row>
    <row r="35" spans="1:32">
      <c r="A35" s="16" t="s">
        <v>33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>
        <f>-([1]ventas!C12*4+[1]ventas!C24*4)</f>
        <v>-29668.054298642535</v>
      </c>
      <c r="AB35" s="17"/>
      <c r="AC35" s="17">
        <f>-([1]ventas!C12+[1]ventas!C24)</f>
        <v>-7417.0135746606338</v>
      </c>
      <c r="AD35" s="17">
        <f>$AC$35</f>
        <v>-7417.0135746606338</v>
      </c>
      <c r="AE35" s="8"/>
      <c r="AF35" s="8"/>
    </row>
    <row r="36" spans="1:32" ht="17.100000000000001" thickBot="1">
      <c r="A36" s="16" t="s">
        <v>34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0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>
        <f>-(AH16*25%)</f>
        <v>-90316.980628996855</v>
      </c>
      <c r="AE36" s="8"/>
      <c r="AF36" s="8"/>
    </row>
    <row r="37" spans="1:32" ht="17.100000000000001" thickBot="1">
      <c r="A37" s="18" t="s">
        <v>35</v>
      </c>
      <c r="B37" s="19">
        <f t="shared" ref="B37:AC37" si="15">SUM(B14:B36)</f>
        <v>-11555.5</v>
      </c>
      <c r="C37" s="19">
        <f t="shared" si="15"/>
        <v>-13481.416666666666</v>
      </c>
      <c r="D37" s="19">
        <f t="shared" si="15"/>
        <v>-13481.416666666666</v>
      </c>
      <c r="E37" s="19">
        <f t="shared" si="15"/>
        <v>-395481.41666666669</v>
      </c>
      <c r="F37" s="19">
        <f t="shared" si="15"/>
        <v>-32740.583333333332</v>
      </c>
      <c r="G37" s="19">
        <f t="shared" si="15"/>
        <v>-32740.583333333332</v>
      </c>
      <c r="H37" s="19">
        <f t="shared" si="15"/>
        <v>96264.916666666672</v>
      </c>
      <c r="I37" s="19">
        <f t="shared" si="15"/>
        <v>16889.411111111105</v>
      </c>
      <c r="J37" s="19">
        <f t="shared" si="15"/>
        <v>35159.411111111112</v>
      </c>
      <c r="K37" s="19">
        <f t="shared" si="15"/>
        <v>53429.411111111098</v>
      </c>
      <c r="L37" s="19">
        <f t="shared" si="15"/>
        <v>-26491.422222222216</v>
      </c>
      <c r="M37" s="19">
        <f t="shared" si="15"/>
        <v>-8221.422222222227</v>
      </c>
      <c r="N37" s="19">
        <f t="shared" si="15"/>
        <v>-8221.422222222227</v>
      </c>
      <c r="O37" s="19">
        <f t="shared" si="15"/>
        <v>-8221.422222222227</v>
      </c>
      <c r="P37" s="19">
        <f t="shared" si="15"/>
        <v>-8221.422222222227</v>
      </c>
      <c r="Q37" s="19">
        <f t="shared" si="15"/>
        <v>-8221.422222222227</v>
      </c>
      <c r="R37" s="19">
        <f t="shared" si="15"/>
        <v>-8221.422222222227</v>
      </c>
      <c r="S37" s="19">
        <f t="shared" si="15"/>
        <v>-8221.422222222227</v>
      </c>
      <c r="T37" s="19">
        <f t="shared" si="15"/>
        <v>-22554.088888888888</v>
      </c>
      <c r="U37" s="19">
        <f t="shared" si="15"/>
        <v>9694.3277777777694</v>
      </c>
      <c r="V37" s="19">
        <f t="shared" si="15"/>
        <v>9694.3277777777694</v>
      </c>
      <c r="W37" s="19">
        <f t="shared" si="15"/>
        <v>9694.3277777777694</v>
      </c>
      <c r="X37" s="19">
        <f t="shared" si="15"/>
        <v>23549.194444444438</v>
      </c>
      <c r="Y37" s="19">
        <f t="shared" si="15"/>
        <v>5279.1944444444471</v>
      </c>
      <c r="Z37" s="19">
        <f t="shared" si="15"/>
        <v>1341.8611111111077</v>
      </c>
      <c r="AA37" s="19">
        <f t="shared" si="15"/>
        <v>-49598.054298642535</v>
      </c>
      <c r="AB37" s="19">
        <f t="shared" si="15"/>
        <v>0</v>
      </c>
      <c r="AC37" s="19">
        <f t="shared" si="15"/>
        <v>374532.98642533936</v>
      </c>
      <c r="AD37" s="20">
        <f>SUM(AD14:AD36)</f>
        <v>277336.00183239195</v>
      </c>
      <c r="AE37" s="8"/>
    </row>
    <row r="38" spans="1:32" ht="17.100000000000001" thickBo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3"/>
      <c r="AC38" s="23"/>
      <c r="AD38" s="23"/>
    </row>
    <row r="39" spans="1:32" ht="17.100000000000001" thickBot="1">
      <c r="A39" s="24" t="s">
        <v>36</v>
      </c>
      <c r="B39" s="25">
        <f>B37</f>
        <v>-11555.5</v>
      </c>
      <c r="C39" s="25">
        <f>C37*(1+B47)^(-1)</f>
        <v>-13370.985988346692</v>
      </c>
      <c r="D39" s="25">
        <f>D37*(1+B47)^(-2)</f>
        <v>-13261.459883708829</v>
      </c>
      <c r="E39" s="25">
        <f>E37*(1+B47)^(-3)</f>
        <v>-385842.25554083369</v>
      </c>
      <c r="F39" s="25">
        <f>F37*(1+B47)^(-4)</f>
        <v>-31680.937271175389</v>
      </c>
      <c r="G39" s="25">
        <f>G37*(1+B47)^(-5)</f>
        <v>-31421.428387267166</v>
      </c>
      <c r="H39" s="25">
        <f>H37*(1+B47)^(-6)</f>
        <v>91629.528590206464</v>
      </c>
      <c r="I39" s="25">
        <f>I37*(1+B47)^(-7)</f>
        <v>15944.460257350593</v>
      </c>
      <c r="J39" s="25">
        <f>J37*(1+B47)^(-8)</f>
        <v>32920.377737947776</v>
      </c>
      <c r="K39" s="25">
        <f>K37*(1+B47)^(-9)</f>
        <v>49617.114832895801</v>
      </c>
      <c r="L39" s="25">
        <f>L37*(1+B47)^(-10)</f>
        <v>-24399.689303715219</v>
      </c>
      <c r="M39" s="25">
        <f>M37*(1+B47)^(-11)</f>
        <v>-7510.2410504505597</v>
      </c>
      <c r="N39" s="25">
        <f>N37*(1+B47)^(-12)</f>
        <v>-7448.7222179677401</v>
      </c>
      <c r="O39" s="25">
        <f>O37*(1+B47)^(-13)</f>
        <v>-7387.7073062944692</v>
      </c>
      <c r="P39" s="25">
        <f>P37*(1+B47)^(-14)</f>
        <v>-7327.1921876511369</v>
      </c>
      <c r="Q39" s="25">
        <f>Q37*(1+B47)^(-15)</f>
        <v>-7267.1727680701233</v>
      </c>
      <c r="R39" s="25">
        <f>R37*(1+B47)^(-16)</f>
        <v>-7207.6449871188333</v>
      </c>
      <c r="S39" s="25">
        <f>S37*(1+B47)^(-17)</f>
        <v>-7148.6048176249924</v>
      </c>
      <c r="T39" s="25">
        <f>T37*(1+B47)^(-18)</f>
        <v>-19450.3547539754</v>
      </c>
      <c r="U39" s="25">
        <f>U37*(1+B47)^(-19)</f>
        <v>8291.7813405415</v>
      </c>
      <c r="V39" s="25">
        <f>V37*(1+B47)^(-20)</f>
        <v>8223.8606567916304</v>
      </c>
      <c r="W39" s="25">
        <f>W37*(1+B47)^(-21)</f>
        <v>8156.4963335017865</v>
      </c>
      <c r="X39" s="25">
        <f>X37*(1+B47)^(-22)</f>
        <v>19651.237453633647</v>
      </c>
      <c r="Y39" s="25">
        <f>Y37*(1+B47)^(-23)</f>
        <v>4369.2752859687916</v>
      </c>
      <c r="Z39" s="25">
        <f>Z37*(1+B47)^(-24)</f>
        <v>1101.4815290268846</v>
      </c>
      <c r="AA39" s="25">
        <f>(AA37*(1+B47)^(-25))</f>
        <v>-40379.616875229651</v>
      </c>
      <c r="AB39" s="25">
        <f>AB37*(1+B47)^(-26)</f>
        <v>0</v>
      </c>
      <c r="AC39" s="25">
        <f>AC37*(1+B47)^(-27)</f>
        <v>299946.24691294885</v>
      </c>
      <c r="AD39" s="26">
        <f>AD37*(1+B47)^(-28)</f>
        <v>220286.31151298803</v>
      </c>
    </row>
    <row r="40" spans="1:32">
      <c r="A40" s="27" t="s">
        <v>37</v>
      </c>
      <c r="B40" s="28">
        <f>SUM(B39:AD39)</f>
        <v>137478.65910437182</v>
      </c>
      <c r="C40" s="29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1"/>
      <c r="AC40" s="31"/>
      <c r="AD40" s="31"/>
    </row>
    <row r="41" spans="1:32">
      <c r="A41" s="32" t="s">
        <v>38</v>
      </c>
      <c r="B41" s="33">
        <f>B39</f>
        <v>-11555.5</v>
      </c>
      <c r="C41" s="33">
        <f>B39+C39</f>
        <v>-24926.485988346692</v>
      </c>
      <c r="D41" s="33">
        <f>B39+C39+D39</f>
        <v>-38187.945872055519</v>
      </c>
      <c r="E41" s="33">
        <f>B39+C39+D39+E39</f>
        <v>-424030.20141288923</v>
      </c>
      <c r="F41" s="33">
        <f>SUM(B39:F39)</f>
        <v>-455711.13868406462</v>
      </c>
      <c r="G41" s="33">
        <f>SUM(B39:G39)</f>
        <v>-487132.56707133178</v>
      </c>
      <c r="H41" s="33">
        <f>SUM(B39:H39)</f>
        <v>-395503.03848112532</v>
      </c>
      <c r="I41" s="33">
        <f>SUM(B39:I39)</f>
        <v>-379558.57822377473</v>
      </c>
      <c r="J41" s="33">
        <f>SUM(B39:J39)</f>
        <v>-346638.20048582694</v>
      </c>
      <c r="K41" s="33">
        <f>SUM(B39:K39)</f>
        <v>-297021.08565293113</v>
      </c>
      <c r="L41" s="33">
        <f>SUM(B39:L39)</f>
        <v>-321420.77495664638</v>
      </c>
      <c r="M41" s="33">
        <f>SUM(B39:M39)</f>
        <v>-328931.01600709691</v>
      </c>
      <c r="N41" s="33">
        <f>SUM(B39:N39)</f>
        <v>-336379.73822506465</v>
      </c>
      <c r="O41" s="33">
        <f>SUM(B39:O39)</f>
        <v>-343767.44553135912</v>
      </c>
      <c r="P41" s="33">
        <f t="shared" ref="P41:AD41" si="16">O41+P39</f>
        <v>-351094.63771901024</v>
      </c>
      <c r="Q41" s="33">
        <f t="shared" si="16"/>
        <v>-358361.81048708037</v>
      </c>
      <c r="R41" s="33">
        <f t="shared" si="16"/>
        <v>-365569.4554741992</v>
      </c>
      <c r="S41" s="33">
        <f t="shared" si="16"/>
        <v>-372718.06029182422</v>
      </c>
      <c r="T41" s="33">
        <f t="shared" si="16"/>
        <v>-392168.41504579963</v>
      </c>
      <c r="U41" s="33">
        <f t="shared" si="16"/>
        <v>-383876.63370525814</v>
      </c>
      <c r="V41" s="33">
        <f t="shared" si="16"/>
        <v>-375652.77304846648</v>
      </c>
      <c r="W41" s="33">
        <f t="shared" si="16"/>
        <v>-367496.27671496471</v>
      </c>
      <c r="X41" s="33">
        <f t="shared" si="16"/>
        <v>-347845.03926133108</v>
      </c>
      <c r="Y41" s="33">
        <f t="shared" si="16"/>
        <v>-343475.76397536229</v>
      </c>
      <c r="Z41" s="33">
        <f t="shared" si="16"/>
        <v>-342374.28244633542</v>
      </c>
      <c r="AA41" s="33">
        <f t="shared" si="16"/>
        <v>-382753.89932156506</v>
      </c>
      <c r="AB41" s="34">
        <f t="shared" si="16"/>
        <v>-382753.89932156506</v>
      </c>
      <c r="AC41" s="34">
        <f t="shared" si="16"/>
        <v>-82807.65240861621</v>
      </c>
      <c r="AD41" s="34">
        <f t="shared" si="16"/>
        <v>137478.65910437182</v>
      </c>
    </row>
    <row r="42" spans="1:32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2"/>
      <c r="AC42" s="32"/>
      <c r="AD42" s="32"/>
    </row>
    <row r="43" spans="1:32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32">
      <c r="A44" s="36" t="s">
        <v>39</v>
      </c>
      <c r="B44" s="37">
        <f>NPV(B47,C37:AD37)+B37</f>
        <v>137478.65910437203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8"/>
      <c r="AC44" s="8"/>
    </row>
    <row r="45" spans="1:32">
      <c r="A45" s="38" t="s">
        <v>40</v>
      </c>
      <c r="B45" s="39">
        <f>IRR(B37:AD37)</f>
        <v>2.1234411271359388E-2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8"/>
      <c r="S45" s="8"/>
      <c r="AA45" s="8"/>
      <c r="AB45" s="8"/>
      <c r="AC45" s="8"/>
    </row>
    <row r="46" spans="1:32">
      <c r="A46" s="36" t="s">
        <v>41</v>
      </c>
      <c r="B46" s="39">
        <f>MIRR(B37:AD37,B47,B45)</f>
        <v>1.8508126002161562E-2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8"/>
      <c r="S46" s="8"/>
      <c r="Z46" s="8"/>
      <c r="AD46" s="8"/>
      <c r="AE46" s="8"/>
    </row>
    <row r="47" spans="1:32">
      <c r="A47" s="36" t="s">
        <v>42</v>
      </c>
      <c r="B47" s="36">
        <f>(1+B10/100)^(30/365)-1</f>
        <v>8.2589779404613761E-3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Z47" s="8"/>
      <c r="AB47" s="8"/>
    </row>
    <row r="48" spans="1:32">
      <c r="A48" s="36" t="s">
        <v>43</v>
      </c>
      <c r="B48" s="40" t="s">
        <v>44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Z48" s="8"/>
    </row>
    <row r="49" spans="2:27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T49" s="8"/>
      <c r="Z49" s="8"/>
      <c r="AA49" s="8"/>
    </row>
    <row r="50" spans="2:27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T50" s="8"/>
      <c r="AA50" s="8"/>
    </row>
    <row r="51" spans="2:27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AA51" s="8"/>
    </row>
    <row r="52" spans="2:27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15dac884-d62c-4247-9616-7f9b9ad91e4e" xsi:nil="true"/>
    <Nro xmlns="15dac884-d62c-4247-9616-7f9b9ad91e4e">39</Nr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BF25ADF9D9438ABB89B6EC605C46" ma:contentTypeVersion="2" ma:contentTypeDescription="Crear nuevo documento." ma:contentTypeScope="" ma:versionID="ed440794b2ad6ef6e267fbafd53c9a0e">
  <xsd:schema xmlns:xsd="http://www.w3.org/2001/XMLSchema" xmlns:xs="http://www.w3.org/2001/XMLSchema" xmlns:p="http://schemas.microsoft.com/office/2006/metadata/properties" xmlns:ns2="15dac884-d62c-4247-9616-7f9b9ad91e4e" targetNamespace="http://schemas.microsoft.com/office/2006/metadata/properties" ma:root="true" ma:fieldsID="887be2383eb6e5834377185a01340a38" ns2:_="">
    <xsd:import namespace="15dac884-d62c-4247-9616-7f9b9ad91e4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ac884-d62c-4247-9616-7f9b9ad91e4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8F5C51-3C75-42A9-82DD-6BAF8E2A527D}"/>
</file>

<file path=customXml/itemProps2.xml><?xml version="1.0" encoding="utf-8"?>
<ds:datastoreItem xmlns:ds="http://schemas.openxmlformats.org/officeDocument/2006/customXml" ds:itemID="{9823161B-74C5-4048-89F7-B1AABF7E00CF}"/>
</file>

<file path=customXml/itemProps3.xml><?xml version="1.0" encoding="utf-8"?>
<ds:datastoreItem xmlns:ds="http://schemas.openxmlformats.org/officeDocument/2006/customXml" ds:itemID="{17C0CB3D-6078-40A2-BAC9-F7A9C7EAB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MORRONE RITA BEATRIZ</dc:creator>
  <cp:keywords/>
  <dc:description/>
  <cp:lastModifiedBy/>
  <cp:revision/>
  <dcterms:created xsi:type="dcterms:W3CDTF">2025-11-10T04:20:09Z</dcterms:created>
  <dcterms:modified xsi:type="dcterms:W3CDTF">2025-11-11T20:57:03Z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0x0101006A41BF25ADF9D9438ABB89B6EC605C46</vt:lpwstr>
  </property>
</Properties>
</file>